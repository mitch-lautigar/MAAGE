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extk-my.sharepoint.com/personal/mitch_lautigar_apextk_com/Documents/"/>
    </mc:Choice>
  </mc:AlternateContent>
  <xr:revisionPtr revIDLastSave="32" documentId="8_{066750CD-F1C4-4ACC-9A3C-60F624AF796B}" xr6:coauthVersionLast="47" xr6:coauthVersionMax="47" xr10:uidLastSave="{B15610DC-228F-40B4-89D6-12C463F688A3}"/>
  <bookViews>
    <workbookView xWindow="-28920" yWindow="-15" windowWidth="29040" windowHeight="15720" xr2:uid="{FEF0DA0E-0E7D-4F6A-BD8F-9E914636CBF9}"/>
    <workbookView xWindow="2916" yWindow="984" windowWidth="14532" windowHeight="9876" activeTab="1" xr2:uid="{779CA394-1C4E-4433-BB89-614155C00F79}"/>
  </bookViews>
  <sheets>
    <sheet name="Sheet1" sheetId="1" r:id="rId1"/>
    <sheet name="mapT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F9" i="1"/>
  <c r="F10" i="1"/>
  <c r="F11" i="1"/>
  <c r="F12" i="1"/>
  <c r="F13" i="1"/>
  <c r="F14" i="1"/>
  <c r="F15" i="1"/>
  <c r="F16" i="1"/>
  <c r="F17" i="1"/>
  <c r="G17" i="1" s="1" a="1"/>
  <c r="G17" i="1" s="1"/>
  <c r="B10" i="1"/>
  <c r="B11" i="1"/>
  <c r="B12" i="1"/>
  <c r="B13" i="1"/>
  <c r="B14" i="1"/>
  <c r="B15" i="1"/>
  <c r="B16" i="1"/>
  <c r="B17" i="1"/>
  <c r="F4" i="1"/>
  <c r="F5" i="1"/>
  <c r="F6" i="1"/>
  <c r="F8" i="1"/>
  <c r="F7" i="1"/>
  <c r="F18" i="1"/>
  <c r="G18" i="1" s="1" a="1"/>
  <c r="G18" i="1" s="1"/>
  <c r="F19" i="1"/>
  <c r="F20" i="1"/>
  <c r="H20" i="1" s="1" a="1"/>
  <c r="H20" i="1" s="1"/>
  <c r="F21" i="1"/>
  <c r="G21" i="1" s="1" a="1"/>
  <c r="G21" i="1" s="1"/>
  <c r="F3" i="1"/>
  <c r="C21" i="1" a="1"/>
  <c r="C21" i="1" s="1"/>
  <c r="B4" i="1"/>
  <c r="B5" i="1"/>
  <c r="B6" i="1"/>
  <c r="B8" i="1"/>
  <c r="B9" i="1"/>
  <c r="B7" i="1"/>
  <c r="B18" i="1"/>
  <c r="C18" i="1" s="1" a="1"/>
  <c r="C18" i="1" s="1"/>
  <c r="B19" i="1"/>
  <c r="C19" i="1" s="1" a="1"/>
  <c r="C19" i="1" s="1"/>
  <c r="B20" i="1"/>
  <c r="D20" i="1" s="1" a="1"/>
  <c r="D20" i="1" s="1"/>
  <c r="B21" i="1"/>
  <c r="D21" i="1" s="1" a="1"/>
  <c r="D21" i="1" s="1"/>
  <c r="B3" i="1"/>
  <c r="G16" i="1" a="1"/>
  <c r="G15" i="1" a="1"/>
  <c r="C10" i="1" a="1"/>
  <c r="D12" i="1" a="1"/>
  <c r="H14" i="1" a="1"/>
  <c r="C14" i="1" a="1"/>
  <c r="C12" i="1" a="1"/>
  <c r="D14" i="1" a="1"/>
  <c r="D11" i="1" a="1"/>
  <c r="D13" i="1" a="1"/>
  <c r="D10" i="1" a="1"/>
  <c r="G12" i="1" a="1"/>
  <c r="C13" i="1" a="1"/>
  <c r="C17" i="1" a="1"/>
  <c r="G13" i="1" a="1"/>
  <c r="G10" i="1" a="1"/>
  <c r="G11" i="1" a="1"/>
  <c r="G14" i="1" a="1"/>
  <c r="G7" i="1" a="1"/>
  <c r="H9" i="1" a="1"/>
  <c r="C9" i="1" a="1"/>
  <c r="D9" i="1" a="1"/>
  <c r="C7" i="1" a="1"/>
  <c r="G8" i="1" a="1"/>
  <c r="C6" i="1" a="1"/>
  <c r="G6" i="1" a="1"/>
  <c r="C5" i="1" a="1"/>
  <c r="G5" i="1" a="1"/>
  <c r="D4" i="1" a="1"/>
  <c r="G4" i="1" a="1"/>
  <c r="G3" i="1" a="1"/>
  <c r="H3" i="1" a="1"/>
  <c r="D3" i="1" a="1"/>
  <c r="C3" i="1" a="1"/>
  <c r="G16" i="1" l="1"/>
  <c r="G15" i="1"/>
  <c r="G20" i="1" a="1"/>
  <c r="G20" i="1" s="1"/>
  <c r="D19" i="1" a="1"/>
  <c r="D19" i="1" s="1"/>
  <c r="H19" i="1" a="1"/>
  <c r="H19" i="1" s="1"/>
  <c r="G19" i="1" a="1"/>
  <c r="G19" i="1" s="1"/>
  <c r="C20" i="1" a="1"/>
  <c r="C20" i="1" s="1"/>
  <c r="H18" i="1" a="1"/>
  <c r="H18" i="1" s="1"/>
  <c r="D18" i="1" a="1"/>
  <c r="D18" i="1" s="1"/>
  <c r="H17" i="1" a="1"/>
  <c r="H17" i="1" s="1"/>
  <c r="H21" i="1" a="1"/>
  <c r="H21" i="1" s="1"/>
  <c r="G14" i="1"/>
  <c r="G11" i="1"/>
  <c r="G10" i="1"/>
  <c r="G13" i="1"/>
  <c r="C17" i="1"/>
  <c r="C13" i="1"/>
  <c r="G12" i="1"/>
  <c r="D10" i="1"/>
  <c r="D13" i="1"/>
  <c r="D11" i="1"/>
  <c r="D14" i="1"/>
  <c r="C12" i="1"/>
  <c r="C14" i="1"/>
  <c r="H14" i="1"/>
  <c r="D12" i="1"/>
  <c r="C10" i="1"/>
  <c r="G7" i="1"/>
  <c r="H9" i="1"/>
  <c r="C7" i="1"/>
  <c r="D9" i="1"/>
  <c r="C9" i="1"/>
  <c r="G8" i="1"/>
  <c r="C6" i="1"/>
  <c r="G6" i="1"/>
  <c r="C5" i="1"/>
  <c r="G5" i="1"/>
  <c r="D4" i="1"/>
  <c r="G4" i="1"/>
  <c r="H3" i="1"/>
  <c r="G3" i="1"/>
  <c r="D3" i="1"/>
  <c r="C3" i="1"/>
  <c r="H16" i="1" a="1"/>
  <c r="H15" i="1" a="1"/>
  <c r="H13" i="1" a="1"/>
  <c r="H12" i="1" a="1"/>
  <c r="C16" i="1" a="1"/>
  <c r="C11" i="1" a="1"/>
  <c r="D16" i="1" a="1"/>
  <c r="H10" i="1" a="1"/>
  <c r="D17" i="1" a="1"/>
  <c r="D15" i="1" a="1"/>
  <c r="C15" i="1" a="1"/>
  <c r="H11" i="1" a="1"/>
  <c r="H7" i="1" a="1"/>
  <c r="G9" i="1" a="1"/>
  <c r="D8" i="1" a="1"/>
  <c r="C8" i="1" a="1"/>
  <c r="D7" i="1" a="1"/>
  <c r="H8" i="1" a="1"/>
  <c r="D6" i="1" a="1"/>
  <c r="H6" i="1" a="1"/>
  <c r="D5" i="1" a="1"/>
  <c r="H5" i="1" a="1"/>
  <c r="C4" i="1" a="1"/>
  <c r="H4" i="1" a="1"/>
  <c r="H16" i="1" l="1"/>
  <c r="H15" i="1"/>
  <c r="N3" i="1"/>
  <c r="N14" i="1"/>
  <c r="L14" i="1"/>
  <c r="M14" i="1"/>
  <c r="M3" i="1"/>
  <c r="L3" i="1"/>
  <c r="H11" i="1"/>
  <c r="C15" i="1"/>
  <c r="D15" i="1"/>
  <c r="D17" i="1"/>
  <c r="H10" i="1"/>
  <c r="D16" i="1"/>
  <c r="C11" i="1"/>
  <c r="C16" i="1"/>
  <c r="I16" i="1" s="1"/>
  <c r="H12" i="1"/>
  <c r="H13" i="1"/>
  <c r="H7" i="1"/>
  <c r="G9" i="1"/>
  <c r="N9" i="1" s="1"/>
  <c r="D7" i="1"/>
  <c r="C8" i="1"/>
  <c r="D8" i="1"/>
  <c r="H8" i="1"/>
  <c r="D6" i="1"/>
  <c r="H6" i="1"/>
  <c r="D5" i="1"/>
  <c r="H5" i="1"/>
  <c r="C4" i="1"/>
  <c r="H4" i="1"/>
  <c r="I15" i="1" l="1"/>
  <c r="K14" i="1"/>
  <c r="I14" i="1"/>
  <c r="K3" i="1"/>
  <c r="I3" i="1"/>
  <c r="N7" i="1"/>
  <c r="N5" i="1"/>
  <c r="N6" i="1"/>
  <c r="N13" i="1"/>
  <c r="N12" i="1"/>
  <c r="N4" i="1"/>
  <c r="N8" i="1"/>
  <c r="N11" i="1"/>
  <c r="N10" i="1"/>
  <c r="L8" i="1"/>
  <c r="L4" i="1"/>
  <c r="L6" i="1"/>
  <c r="L11" i="1"/>
  <c r="L5" i="1"/>
  <c r="L10" i="1"/>
  <c r="L13" i="1"/>
  <c r="L9" i="1"/>
  <c r="L7" i="1"/>
  <c r="L12" i="1"/>
  <c r="M7" i="1"/>
  <c r="M6" i="1"/>
  <c r="M5" i="1"/>
  <c r="M10" i="1"/>
  <c r="M4" i="1"/>
  <c r="M13" i="1"/>
  <c r="M8" i="1"/>
  <c r="M11" i="1"/>
  <c r="M9" i="1"/>
  <c r="M12" i="1"/>
  <c r="K12" i="1" l="1"/>
  <c r="I12" i="1"/>
  <c r="K7" i="1"/>
  <c r="I7" i="1"/>
  <c r="K13" i="1"/>
  <c r="I13" i="1"/>
  <c r="K5" i="1"/>
  <c r="I5" i="1"/>
  <c r="K9" i="1"/>
  <c r="I9" i="1"/>
  <c r="K10" i="1"/>
  <c r="I10" i="1"/>
  <c r="K11" i="1"/>
  <c r="I11" i="1"/>
  <c r="K6" i="1"/>
  <c r="I6" i="1"/>
  <c r="K4" i="1"/>
  <c r="I4" i="1"/>
  <c r="K8" i="1"/>
  <c r="I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<sst xmlns="http://schemas.openxmlformats.org/spreadsheetml/2006/main" count="16" uniqueCount="12">
  <si>
    <t>Starting Hex</t>
  </si>
  <si>
    <t>Row</t>
  </si>
  <si>
    <t>Column</t>
  </si>
  <si>
    <t>Hex Value</t>
  </si>
  <si>
    <t>Address</t>
  </si>
  <si>
    <t>Ending Hex</t>
  </si>
  <si>
    <t>Distance Calc</t>
  </si>
  <si>
    <t>Expected Value</t>
  </si>
  <si>
    <t>Test Distance Calc</t>
  </si>
  <si>
    <t>Cube Distance Calc</t>
  </si>
  <si>
    <t>Slope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</si>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</sst>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2" borderId="1" xfId="0" applyFill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2">
    <dxf>
      <font>
        <strike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183D-800B-4654-A3EA-B53C40755FA4}">
  <dimension ref="A1:N21"/>
  <sheetViews>
    <sheetView tabSelected="1" workbookViewId="0">
      <selection activeCell="J17" sqref="J17"/>
    </sheetView>
    <sheetView workbookViewId="1"/>
  </sheetViews>
  <sheetFormatPr defaultRowHeight="14.4" x14ac:dyDescent="0.3"/>
  <cols>
    <col min="1" max="1" width="9.33203125" bestFit="1" customWidth="1"/>
    <col min="9" max="9" width="17.109375" customWidth="1"/>
    <col min="10" max="10" width="13.88671875" bestFit="1" customWidth="1"/>
    <col min="11" max="11" width="16.21875" customWidth="1"/>
    <col min="14" max="14" width="19" customWidth="1"/>
  </cols>
  <sheetData>
    <row r="1" spans="1:14" x14ac:dyDescent="0.3">
      <c r="A1" s="1" t="s">
        <v>0</v>
      </c>
      <c r="B1" s="1"/>
      <c r="C1" s="1"/>
      <c r="D1" s="1"/>
      <c r="E1" s="1" t="s">
        <v>5</v>
      </c>
      <c r="F1" s="1"/>
      <c r="G1" s="1"/>
      <c r="H1" s="1"/>
    </row>
    <row r="2" spans="1:14" x14ac:dyDescent="0.3">
      <c r="A2" t="s">
        <v>3</v>
      </c>
      <c r="B2" t="s">
        <v>4</v>
      </c>
      <c r="C2" t="s">
        <v>1</v>
      </c>
      <c r="D2" t="s">
        <v>2</v>
      </c>
      <c r="E2" t="s">
        <v>3</v>
      </c>
      <c r="F2" t="s">
        <v>4</v>
      </c>
      <c r="G2" t="s">
        <v>1</v>
      </c>
      <c r="H2" t="s">
        <v>2</v>
      </c>
      <c r="I2" t="s">
        <v>6</v>
      </c>
      <c r="J2" t="s">
        <v>7</v>
      </c>
      <c r="K2" t="s">
        <v>8</v>
      </c>
      <c r="L2" t="s">
        <v>10</v>
      </c>
      <c r="M2" t="s">
        <v>11</v>
      </c>
      <c r="N2" t="s">
        <v>9</v>
      </c>
    </row>
    <row r="3" spans="1:14" x14ac:dyDescent="0.3">
      <c r="A3" s="4">
        <v>14</v>
      </c>
      <c r="B3" s="3" t="str">
        <f>IF(A3&lt;&gt;"",_xlfn.LET(
  _xlpm.rng, mapTrial!$A$3:$N$11,
  _xlpm.v, A3,
  _xlpm.cols, COLUMNS(_xlpm.rng),
  _xlpm.p, _xlfn.XMATCH(_xlpm.v, _xlfn.TOCOL(_xlpm.rng), 0),
  ADDRESS(
    INT((_xlpm.p-1)/_xlpm.cols)+1+2,
    MOD(_xlpm.p-1,_xlpm.cols)+1,
    1
  )
),"")</f>
        <v>$C$5</v>
      </c>
      <c r="C3" s="3" cm="1">
        <f t="array" aca="1" ref="C3" ca="1">IF(B3&lt;&gt;"",ROW(INDIRECT(B3)),"")</f>
        <v>5</v>
      </c>
      <c r="D3" s="3" cm="1">
        <f t="array" aca="1" ref="D3" ca="1">IF(B3&lt;&gt;"",COLUMN(INDIRECT(B3)),"")</f>
        <v>3</v>
      </c>
      <c r="E3" s="5">
        <v>36</v>
      </c>
      <c r="F3" s="3" t="str">
        <f>IF(E3&lt;&gt;"",_xlfn.LET(
  _xlpm.rng, mapTrial!$A$3:$N$11,
  _xlpm.v, E3,
  _xlpm.cols, COLUMNS(_xlpm.rng),
  _xlpm.p, _xlfn.XMATCH(_xlpm.v, _xlfn.TOCOL(_xlpm.rng), 0),
  ADDRESS(
    INT((_xlpm.p-1)/_xlpm.cols)+1+2,
    MOD(_xlpm.p-1,_xlpm.cols)+1,
    1
  )
),"")</f>
        <v>$H$8</v>
      </c>
      <c r="G3" s="3" cm="1">
        <f t="array" aca="1" ref="G3" ca="1">IF(F3&lt;&gt;"",ROW(INDIRECT(F3)),"")</f>
        <v>8</v>
      </c>
      <c r="H3" s="3" cm="1">
        <f t="array" aca="1" ref="H3" ca="1">IF(F3&lt;&gt;"",COLUMN(INDIRECT(F3)),"")</f>
        <v>8</v>
      </c>
      <c r="I3" s="7">
        <f ca="1">IF(AND(B3&lt;&gt;"",F3&lt;&gt;""),
_xlfn.LET(_xlpm.mod,IF(AND(L3&lt;0,ABS(L3)&lt;3),2,4),_xlpm.qa,MIN(G3,C3),_xlpm.ra,MIN(H3,D3),_xlpm.qb,MAX(G3,C3),_xlpm.rb,MAX(H3,D3),
ROUND((ABS(_xlpm.qa-_xlpm.qb)+ABS(_xlpm.ra-_xlpm.rb)+ABS((_xlpm.qa+_xlpm.ra)-(_xlpm.qb+_xlpm.rb)))/4,0)),"")</f>
        <v>4</v>
      </c>
      <c r="J3">
        <v>4</v>
      </c>
      <c r="K3">
        <f ca="1">IF(AND(B3&lt;&gt;"",F3&lt;&gt;""),
_xlfn.LET(_xlpm.mod,IF(AND(L3&lt;0,ABS(L3)&lt;3),2,4),_xlpm.qa,MIN(G3,C3),_xlpm.ra,MIN(H3,D3),_xlpm.qb,MAX(G3,C3),_xlpm.rb,MAX(H3,D3),
ROUND((ABS(_xlpm.qa-_xlpm.qb)+ABS(_xlpm.ra-_xlpm.rb)+ABS((_xlpm.qa+_xlpm.ra)-(_xlpm.qb+_xlpm.rb)))/4,0)),"")</f>
        <v>4</v>
      </c>
      <c r="L3">
        <f ca="1">(G3-C3)/(H3-D3)</f>
        <v>0.6</v>
      </c>
      <c r="M3">
        <f t="shared" ref="M3:M11" ca="1" si="0">IF(AND((G3-C3)/(H3-D3)&lt;0,ABS((G3-C3)/(H3-D3))&lt;3),2,4)</f>
        <v>4</v>
      </c>
      <c r="N3">
        <f ca="1">_xlfn.LET(
  _xlpm.qa,(C3 - 3 - MOD(D3,2))/2,
  _xlpm.ra,D3,
  _xlpm.qb,(G3 - 3 - MOD(H3,2))/2,
  _xlpm.rb,H3,
  _xlpm.xa,_xlpm.qa,
  _xlpm.za,_xlpm.rb,
  _xlpm.ya,-_xlpm.qa-_xlpm.ra,
  _xlpm.xb,_xlpm.qb,
  _xlpm.zb,_xlpm.rb,
  _xlpm.yb,-_xlpm.qb-_xlpm.rb,
  MAX(ABS(_xlpm.xa-_xlpm.xb),ABS(_xlpm.ya-_xlpm.yb),ABS(_xlpm.za-_xlpm.zb))
)</f>
        <v>7</v>
      </c>
    </row>
    <row r="4" spans="1:14" x14ac:dyDescent="0.3">
      <c r="A4" s="6">
        <v>27</v>
      </c>
      <c r="B4" s="3" t="str">
        <f>IF(A4&lt;&gt;"",_xlfn.LET(
  _xlpm.rng, mapTrial!$A$3:$N$11,
  _xlpm.v, A4,
  _xlpm.cols, COLUMNS(_xlpm.rng),
  _xlpm.p, _xlfn.XMATCH(_xlpm.v, _xlfn.TOCOL(_xlpm.rng), 0),
  ADDRESS(
    INT((_xlpm.p-1)/_xlpm.cols)+1+2,
    MOD(_xlpm.p-1,_xlpm.cols)+1,
    1
  )
),"")</f>
        <v>$C$7</v>
      </c>
      <c r="C4" s="3" cm="1">
        <f t="array" aca="1" ref="C4" ca="1">IF(B4&lt;&gt;"",ROW(INDIRECT(B4)),"")</f>
        <v>7</v>
      </c>
      <c r="D4" s="3" cm="1">
        <f t="array" aca="1" ref="D4" ca="1">IF(B4&lt;&gt;"",COLUMN(INDIRECT(B4)),"")</f>
        <v>3</v>
      </c>
      <c r="E4" s="5">
        <v>36</v>
      </c>
      <c r="F4" s="3" t="str">
        <f>IF(E4&lt;&gt;"",_xlfn.LET(
  _xlpm.rng, mapTrial!$A$3:$N$11,
  _xlpm.v, E4,
  _xlpm.cols, COLUMNS(_xlpm.rng),
  _xlpm.p, _xlfn.XMATCH(_xlpm.v, _xlfn.TOCOL(_xlpm.rng), 0),
  ADDRESS(
    INT((_xlpm.p-1)/_xlpm.cols)+1+2,
    MOD(_xlpm.p-1,_xlpm.cols)+1,
    1
  )
),"")</f>
        <v>$H$8</v>
      </c>
      <c r="G4" s="3" cm="1">
        <f t="array" aca="1" ref="G4" ca="1">IF(F4&lt;&gt;"",ROW(INDIRECT(F4)),"")</f>
        <v>8</v>
      </c>
      <c r="H4" s="3" cm="1">
        <f t="array" aca="1" ref="H4" ca="1">IF(F4&lt;&gt;"",COLUMN(INDIRECT(F4)),"")</f>
        <v>8</v>
      </c>
      <c r="I4" s="7">
        <f t="shared" ref="I4:I21" ca="1" si="1">IF(AND(B4&lt;&gt;"",F4&lt;&gt;""),
_xlfn.LET(_xlpm.mod,IF(AND(L4&lt;0,ABS(L4)&lt;3),2,4),_xlpm.qa,MIN(G4,C4),_xlpm.ra,MIN(H4,D4),_xlpm.qb,MAX(G4,C4),_xlpm.rb,MAX(H4,D4),
ROUND((ABS(_xlpm.qa-_xlpm.qb)+ABS(_xlpm.ra-_xlpm.rb)+ABS((_xlpm.qa+_xlpm.ra)-(_xlpm.qb+_xlpm.rb)))/4,0)),"")</f>
        <v>3</v>
      </c>
      <c r="J4">
        <v>3</v>
      </c>
      <c r="K4">
        <f t="shared" ref="K4:K14" ca="1" si="2">IF(AND(B4&lt;&gt;"",F4&lt;&gt;""),
_xlfn.LET(_xlpm.mod,IF(AND(L4&lt;0,ABS(L4)&lt;3),2,4),_xlpm.qa,MIN(G4,C4),_xlpm.ra,MIN(H4,D4),_xlpm.qb,MAX(G4,C4),_xlpm.rb,MAX(H4,D4),
ROUND((ABS(_xlpm.qa-_xlpm.qb)+ABS(_xlpm.ra-_xlpm.rb)+ABS((_xlpm.qa+_xlpm.ra)-(_xlpm.qb+_xlpm.rb)))/4,0)),"")</f>
        <v>3</v>
      </c>
      <c r="L4">
        <f t="shared" ref="L4:L14" ca="1" si="3">(G4-C4)/(H4-D4)</f>
        <v>0.2</v>
      </c>
      <c r="M4">
        <f t="shared" ca="1" si="0"/>
        <v>4</v>
      </c>
      <c r="N4">
        <f t="shared" ref="N4:N14" ca="1" si="4">_xlfn.LET(
  _xlpm.qa,(C4 - 3 - MOD(D4,2))/2,
  _xlpm.ra,D4,
  _xlpm.qb,(G4 - 3 - MOD(H4,2))/2,
  _xlpm.rb,H4,
  _xlpm.xa,_xlpm.qa,
  _xlpm.za,_xlpm.rb,
  _xlpm.ya,-_xlpm.qa-_xlpm.ra,
  _xlpm.xb,_xlpm.qb,
  _xlpm.zb,_xlpm.rb,
  _xlpm.yb,-_xlpm.qb-_xlpm.rb,
  MAX(ABS(_xlpm.xa-_xlpm.xb),ABS(_xlpm.ya-_xlpm.yb),ABS(_xlpm.za-_xlpm.zb))
)</f>
        <v>6</v>
      </c>
    </row>
    <row r="5" spans="1:14" x14ac:dyDescent="0.3">
      <c r="A5" s="6">
        <v>27</v>
      </c>
      <c r="B5" s="3" t="str">
        <f>IF(A5&lt;&gt;"",_xlfn.LET(
  _xlpm.rng, mapTrial!$A$3:$N$11,
  _xlpm.v, A5,
  _xlpm.cols, COLUMNS(_xlpm.rng),
  _xlpm.p, _xlfn.XMATCH(_xlpm.v, _xlfn.TOCOL(_xlpm.rng), 0),
  ADDRESS(
    INT((_xlpm.p-1)/_xlpm.cols)+1+2,
    MOD(_xlpm.p-1,_xlpm.cols)+1,
    1
  )
),"")</f>
        <v>$C$7</v>
      </c>
      <c r="C5" s="3" cm="1">
        <f t="array" aca="1" ref="C5" ca="1">IF(B5&lt;&gt;"",ROW(INDIRECT(B5)),"")</f>
        <v>7</v>
      </c>
      <c r="D5" s="3" cm="1">
        <f t="array" aca="1" ref="D5" ca="1">IF(B5&lt;&gt;"",COLUMN(INDIRECT(B5)),"")</f>
        <v>3</v>
      </c>
      <c r="E5" s="5">
        <v>47</v>
      </c>
      <c r="F5" s="3" t="str">
        <f>IF(E5&lt;&gt;"",_xlfn.LET(
  _xlpm.rng, mapTrial!$A$3:$N$11,
  _xlpm.v, E5,
  _xlpm.cols, COLUMNS(_xlpm.rng),
  _xlpm.p, _xlfn.XMATCH(_xlpm.v, _xlfn.TOCOL(_xlpm.rng), 0),
  ADDRESS(
    INT((_xlpm.p-1)/_xlpm.cols)+1+2,
    MOD(_xlpm.p-1,_xlpm.cols)+1,
    1
  )
),"")</f>
        <v>$D$10</v>
      </c>
      <c r="G5" s="3" cm="1">
        <f t="array" aca="1" ref="G5" ca="1">IF(F5&lt;&gt;"",ROW(INDIRECT(F5)),"")</f>
        <v>10</v>
      </c>
      <c r="H5" s="3" cm="1">
        <f t="array" aca="1" ref="H5" ca="1">IF(F5&lt;&gt;"",COLUMN(INDIRECT(F5)),"")</f>
        <v>4</v>
      </c>
      <c r="I5" s="7">
        <f t="shared" ca="1" si="1"/>
        <v>2</v>
      </c>
      <c r="J5">
        <v>2</v>
      </c>
      <c r="K5">
        <f t="shared" ca="1" si="2"/>
        <v>2</v>
      </c>
      <c r="L5">
        <f t="shared" ca="1" si="3"/>
        <v>3</v>
      </c>
      <c r="M5">
        <f t="shared" ca="1" si="0"/>
        <v>4</v>
      </c>
      <c r="N5">
        <f t="shared" ca="1" si="4"/>
        <v>3</v>
      </c>
    </row>
    <row r="6" spans="1:14" x14ac:dyDescent="0.3">
      <c r="A6" s="6">
        <v>27</v>
      </c>
      <c r="B6" s="3" t="str">
        <f>IF(A6&lt;&gt;"",_xlfn.LET(
  _xlpm.rng, mapTrial!$A$3:$N$11,
  _xlpm.v, A6,
  _xlpm.cols, COLUMNS(_xlpm.rng),
  _xlpm.p, _xlfn.XMATCH(_xlpm.v, _xlfn.TOCOL(_xlpm.rng), 0),
  ADDRESS(
    INT((_xlpm.p-1)/_xlpm.cols)+1+2,
    MOD(_xlpm.p-1,_xlpm.cols)+1,
    1
  )
),"")</f>
        <v>$C$7</v>
      </c>
      <c r="C6" s="3" cm="1">
        <f t="array" aca="1" ref="C6" ca="1">IF(B6&lt;&gt;"",ROW(INDIRECT(B6)),"")</f>
        <v>7</v>
      </c>
      <c r="D6" s="3" cm="1">
        <f t="array" aca="1" ref="D6" ca="1">IF(B6&lt;&gt;"",COLUMN(INDIRECT(B6)),"")</f>
        <v>3</v>
      </c>
      <c r="E6" s="5">
        <v>54</v>
      </c>
      <c r="F6" s="3" t="str">
        <f>IF(E6&lt;&gt;"",_xlfn.LET(
  _xlpm.rng, mapTrial!$A$3:$N$11,
  _xlpm.v, E6,
  _xlpm.cols, COLUMNS(_xlpm.rng),
  _xlpm.p, _xlfn.XMATCH(_xlpm.v, _xlfn.TOCOL(_xlpm.rng), 0),
  ADDRESS(
    INT((_xlpm.p-1)/_xlpm.cols)+1+2,
    MOD(_xlpm.p-1,_xlpm.cols)+1,
    1
  )
),"")</f>
        <v>$E$11</v>
      </c>
      <c r="G6" s="3" cm="1">
        <f t="array" aca="1" ref="G6" ca="1">IF(F6&lt;&gt;"",ROW(INDIRECT(F6)),"")</f>
        <v>11</v>
      </c>
      <c r="H6" s="3" cm="1">
        <f t="array" aca="1" ref="H6" ca="1">IF(F6&lt;&gt;"",COLUMN(INDIRECT(F6)),"")</f>
        <v>5</v>
      </c>
      <c r="I6" s="7">
        <f t="shared" ca="1" si="1"/>
        <v>3</v>
      </c>
      <c r="J6">
        <v>3</v>
      </c>
      <c r="K6">
        <f t="shared" ca="1" si="2"/>
        <v>3</v>
      </c>
      <c r="L6">
        <f t="shared" ca="1" si="3"/>
        <v>2</v>
      </c>
      <c r="M6">
        <f t="shared" ca="1" si="0"/>
        <v>4</v>
      </c>
      <c r="N6">
        <f t="shared" ca="1" si="4"/>
        <v>4</v>
      </c>
    </row>
    <row r="7" spans="1:14" x14ac:dyDescent="0.3">
      <c r="A7" s="6">
        <v>7</v>
      </c>
      <c r="B7" s="3" t="str">
        <f>IF(A7&lt;&gt;"",_xlfn.LET(
  _xlpm.rng, mapTrial!$A$3:$N$11,
  _xlpm.v, A7,
  _xlpm.cols, COLUMNS(_xlpm.rng),
  _xlpm.p, _xlfn.XMATCH(_xlpm.v, _xlfn.TOCOL(_xlpm.rng), 0),
  ADDRESS(
    INT((_xlpm.p-1)/_xlpm.cols)+1+2,
    MOD(_xlpm.p-1,_xlpm.cols)+1,
    1
  )
),"")</f>
        <v>$B$4</v>
      </c>
      <c r="C7" s="3" cm="1">
        <f t="array" aca="1" ref="C7" ca="1">IF(B7&lt;&gt;"",ROW(INDIRECT(B7)),"")</f>
        <v>4</v>
      </c>
      <c r="D7" s="3" cm="1">
        <f t="array" aca="1" ref="D7" ca="1">IF(B7&lt;&gt;"",COLUMN(INDIRECT(B7)),"")</f>
        <v>2</v>
      </c>
      <c r="E7" s="5">
        <v>56</v>
      </c>
      <c r="F7" s="3" t="str">
        <f>IF(E7&lt;&gt;"",_xlfn.LET(
  _xlpm.rng, mapTrial!$A$3:$N$11,
  _xlpm.v, E7,
  _xlpm.cols, COLUMNS(_xlpm.rng),
  _xlpm.p, _xlfn.XMATCH(_xlpm.v, _xlfn.TOCOL(_xlpm.rng), 0),
  ADDRESS(
    INT((_xlpm.p-1)/_xlpm.cols)+1+2,
    MOD(_xlpm.p-1,_xlpm.cols)+1,
    1
  )
),"")</f>
        <v>$I$11</v>
      </c>
      <c r="G7" s="3" cm="1">
        <f t="array" aca="1" ref="G7" ca="1">IF(F7&lt;&gt;"",ROW(INDIRECT(F7)),"")</f>
        <v>11</v>
      </c>
      <c r="H7" s="3" cm="1">
        <f t="array" aca="1" ref="H7" ca="1">IF(F7&lt;&gt;"",COLUMN(INDIRECT(F7)),"")</f>
        <v>9</v>
      </c>
      <c r="I7" s="7">
        <f t="shared" ca="1" si="1"/>
        <v>7</v>
      </c>
      <c r="J7">
        <v>7</v>
      </c>
      <c r="K7">
        <f t="shared" ca="1" si="2"/>
        <v>7</v>
      </c>
      <c r="L7">
        <f t="shared" ca="1" si="3"/>
        <v>1</v>
      </c>
      <c r="M7">
        <f t="shared" ca="1" si="0"/>
        <v>4</v>
      </c>
      <c r="N7">
        <f t="shared" ca="1" si="4"/>
        <v>10</v>
      </c>
    </row>
    <row r="8" spans="1:14" x14ac:dyDescent="0.3">
      <c r="A8" s="6">
        <v>17</v>
      </c>
      <c r="B8" s="3" t="str">
        <f>IF(A8&lt;&gt;"",_xlfn.LET(
  _xlpm.rng, mapTrial!$A$3:$N$11,
  _xlpm.v, A8,
  _xlpm.cols, COLUMNS(_xlpm.rng),
  _xlpm.p, _xlfn.XMATCH(_xlpm.v, _xlfn.TOCOL(_xlpm.rng), 0),
  ADDRESS(
    INT((_xlpm.p-1)/_xlpm.cols)+1+2,
    MOD(_xlpm.p-1,_xlpm.cols)+1,
    1
  )
),"")</f>
        <v>$I$5</v>
      </c>
      <c r="C8" s="3" cm="1">
        <f t="array" aca="1" ref="C8" ca="1">IF(B8&lt;&gt;"",ROW(INDIRECT(B8)),"")</f>
        <v>5</v>
      </c>
      <c r="D8" s="3" cm="1">
        <f t="array" aca="1" ref="D8" ca="1">IF(B8&lt;&gt;"",COLUMN(INDIRECT(B8)),"")</f>
        <v>9</v>
      </c>
      <c r="E8" s="5">
        <v>36</v>
      </c>
      <c r="F8" s="3" t="str">
        <f>IF(E8&lt;&gt;"",_xlfn.LET(
  _xlpm.rng, mapTrial!$A$3:$N$11,
  _xlpm.v, E8,
  _xlpm.cols, COLUMNS(_xlpm.rng),
  _xlpm.p, _xlfn.XMATCH(_xlpm.v, _xlfn.TOCOL(_xlpm.rng), 0),
  ADDRESS(
    INT((_xlpm.p-1)/_xlpm.cols)+1+2,
    MOD(_xlpm.p-1,_xlpm.cols)+1,
    1
  )
),"")</f>
        <v>$H$8</v>
      </c>
      <c r="G8" s="3" cm="1">
        <f t="array" aca="1" ref="G8" ca="1">IF(F8&lt;&gt;"",ROW(INDIRECT(F8)),"")</f>
        <v>8</v>
      </c>
      <c r="H8" s="3" cm="1">
        <f t="array" aca="1" ref="H8" ca="1">IF(F8&lt;&gt;"",COLUMN(INDIRECT(F8)),"")</f>
        <v>8</v>
      </c>
      <c r="I8" s="7">
        <f t="shared" ca="1" si="1"/>
        <v>2</v>
      </c>
      <c r="J8">
        <v>2</v>
      </c>
      <c r="K8">
        <f t="shared" ca="1" si="2"/>
        <v>2</v>
      </c>
      <c r="L8">
        <f t="shared" ca="1" si="3"/>
        <v>-3</v>
      </c>
      <c r="M8">
        <f t="shared" ca="1" si="0"/>
        <v>4</v>
      </c>
      <c r="N8">
        <f t="shared" ca="1" si="4"/>
        <v>2</v>
      </c>
    </row>
    <row r="9" spans="1:14" x14ac:dyDescent="0.3">
      <c r="A9" s="6">
        <v>17</v>
      </c>
      <c r="B9" s="3" t="str">
        <f>IF(A9&lt;&gt;"",_xlfn.LET(
  _xlpm.rng, mapTrial!$A$3:$N$11,
  _xlpm.v, A9,
  _xlpm.cols, COLUMNS(_xlpm.rng),
  _xlpm.p, _xlfn.XMATCH(_xlpm.v, _xlfn.TOCOL(_xlpm.rng), 0),
  ADDRESS(
    INT((_xlpm.p-1)/_xlpm.cols)+1+2,
    MOD(_xlpm.p-1,_xlpm.cols)+1,
    1
  )
),"")</f>
        <v>$I$5</v>
      </c>
      <c r="C9" s="3" cm="1">
        <f t="array" aca="1" ref="C9" ca="1">IF(B9&lt;&gt;"",ROW(INDIRECT(B9)),"")</f>
        <v>5</v>
      </c>
      <c r="D9" s="3" cm="1">
        <f t="array" aca="1" ref="D9" ca="1">IF(B9&lt;&gt;"",COLUMN(INDIRECT(B9)),"")</f>
        <v>9</v>
      </c>
      <c r="E9" s="5">
        <v>53</v>
      </c>
      <c r="F9" s="3" t="str">
        <f>IF(E9&lt;&gt;"",_xlfn.LET(
  _xlpm.rng, mapTrial!$A$3:$N$11,
  _xlpm.v, E9,
  _xlpm.cols, COLUMNS(_xlpm.rng),
  _xlpm.p, _xlfn.XMATCH(_xlpm.v, _xlfn.TOCOL(_xlpm.rng), 0),
  ADDRESS(
    INT((_xlpm.p-1)/_xlpm.cols)+1+2,
    MOD(_xlpm.p-1,_xlpm.cols)+1,
    1
  )
),"")</f>
        <v>$C$11</v>
      </c>
      <c r="G9" s="3" cm="1">
        <f t="array" aca="1" ref="G9" ca="1">IF(F9&lt;&gt;"",ROW(INDIRECT(F9)),"")</f>
        <v>11</v>
      </c>
      <c r="H9" s="3" cm="1">
        <f t="array" aca="1" ref="H9" ca="1">IF(F9&lt;&gt;"",COLUMN(INDIRECT(F9)),"")</f>
        <v>3</v>
      </c>
      <c r="I9" s="7">
        <f t="shared" ca="1" si="1"/>
        <v>6</v>
      </c>
      <c r="J9">
        <v>6</v>
      </c>
      <c r="K9">
        <f t="shared" ca="1" si="2"/>
        <v>6</v>
      </c>
      <c r="L9">
        <f t="shared" ca="1" si="3"/>
        <v>-1</v>
      </c>
      <c r="M9">
        <f t="shared" ca="1" si="0"/>
        <v>2</v>
      </c>
      <c r="N9">
        <f t="shared" ca="1" si="4"/>
        <v>3</v>
      </c>
    </row>
    <row r="10" spans="1:14" x14ac:dyDescent="0.3">
      <c r="A10" s="6">
        <v>15</v>
      </c>
      <c r="B10" s="3" t="str">
        <f>IF(A10&lt;&gt;"",_xlfn.LET(
  _xlpm.rng, mapTrial!$A$3:$N$11,
  _xlpm.v, A10,
  _xlpm.cols, COLUMNS(_xlpm.rng),
  _xlpm.p, _xlfn.XMATCH(_xlpm.v, _xlfn.TOCOL(_xlpm.rng), 0),
  ADDRESS(
    INT((_xlpm.p-1)/_xlpm.cols)+1+2,
    MOD(_xlpm.p-1,_xlpm.cols)+1,
    1
  )
),"")</f>
        <v>$E$5</v>
      </c>
      <c r="C10" s="3" cm="1">
        <f t="array" aca="1" ref="C10" ca="1">IF(B10&lt;&gt;"",ROW(INDIRECT(B10)),"")</f>
        <v>5</v>
      </c>
      <c r="D10" s="3" cm="1">
        <f t="array" aca="1" ref="D10" ca="1">IF(B10&lt;&gt;"",COLUMN(INDIRECT(B10)),"")</f>
        <v>5</v>
      </c>
      <c r="E10" s="5">
        <v>34</v>
      </c>
      <c r="F10" s="3" t="str">
        <f>IF(E10&lt;&gt;"",_xlfn.LET(
  _xlpm.rng, mapTrial!$A$3:$N$11,
  _xlpm.v, E10,
  _xlpm.cols, COLUMNS(_xlpm.rng),
  _xlpm.p, _xlfn.XMATCH(_xlpm.v, _xlfn.TOCOL(_xlpm.rng), 0),
  ADDRESS(
    INT((_xlpm.p-1)/_xlpm.cols)+1+2,
    MOD(_xlpm.p-1,_xlpm.cols)+1,
    1
  )
),"")</f>
        <v>$D$8</v>
      </c>
      <c r="G10" s="3" cm="1">
        <f t="array" aca="1" ref="G10" ca="1">IF(F10&lt;&gt;"",ROW(INDIRECT(F10)),"")</f>
        <v>8</v>
      </c>
      <c r="H10" s="3" cm="1">
        <f t="array" aca="1" ref="H10" ca="1">IF(F10&lt;&gt;"",COLUMN(INDIRECT(F10)),"")</f>
        <v>4</v>
      </c>
      <c r="I10" s="7">
        <f t="shared" ca="1" si="1"/>
        <v>2</v>
      </c>
      <c r="J10">
        <v>2</v>
      </c>
      <c r="K10">
        <f t="shared" ca="1" si="2"/>
        <v>2</v>
      </c>
      <c r="L10">
        <f t="shared" ca="1" si="3"/>
        <v>-3</v>
      </c>
      <c r="M10">
        <f t="shared" ca="1" si="0"/>
        <v>4</v>
      </c>
      <c r="N10">
        <f t="shared" ca="1" si="4"/>
        <v>2</v>
      </c>
    </row>
    <row r="11" spans="1:14" x14ac:dyDescent="0.3">
      <c r="A11" s="6">
        <v>21</v>
      </c>
      <c r="B11" s="3" t="str">
        <f>IF(A11&lt;&gt;"",_xlfn.LET(
  _xlpm.rng, mapTrial!$A$3:$N$11,
  _xlpm.v, A11,
  _xlpm.cols, COLUMNS(_xlpm.rng),
  _xlpm.p, _xlfn.XMATCH(_xlpm.v, _xlfn.TOCOL(_xlpm.rng), 0),
  ADDRESS(
    INT((_xlpm.p-1)/_xlpm.cols)+1+2,
    MOD(_xlpm.p-1,_xlpm.cols)+1,
    1
  )
),"")</f>
        <v>$D$6</v>
      </c>
      <c r="C11" s="3" cm="1">
        <f t="array" aca="1" ref="C11" ca="1">IF(B11&lt;&gt;"",ROW(INDIRECT(B11)),"")</f>
        <v>6</v>
      </c>
      <c r="D11" s="3" cm="1">
        <f t="array" aca="1" ref="D11" ca="1">IF(B11&lt;&gt;"",COLUMN(INDIRECT(B11)),"")</f>
        <v>4</v>
      </c>
      <c r="E11" s="5">
        <v>53</v>
      </c>
      <c r="F11" s="3" t="str">
        <f>IF(E11&lt;&gt;"",_xlfn.LET(
  _xlpm.rng, mapTrial!$A$3:$N$11,
  _xlpm.v, E11,
  _xlpm.cols, COLUMNS(_xlpm.rng),
  _xlpm.p, _xlfn.XMATCH(_xlpm.v, _xlfn.TOCOL(_xlpm.rng), 0),
  ADDRESS(
    INT((_xlpm.p-1)/_xlpm.cols)+1+2,
    MOD(_xlpm.p-1,_xlpm.cols)+1,
    1
  )
),"")</f>
        <v>$C$11</v>
      </c>
      <c r="G11" s="3" cm="1">
        <f t="array" aca="1" ref="G11" ca="1">IF(F11&lt;&gt;"",ROW(INDIRECT(F11)),"")</f>
        <v>11</v>
      </c>
      <c r="H11" s="3" cm="1">
        <f t="array" aca="1" ref="H11" ca="1">IF(F11&lt;&gt;"",COLUMN(INDIRECT(F11)),"")</f>
        <v>3</v>
      </c>
      <c r="I11" s="7">
        <f t="shared" ca="1" si="1"/>
        <v>3</v>
      </c>
      <c r="J11">
        <v>3</v>
      </c>
      <c r="K11">
        <f t="shared" ca="1" si="2"/>
        <v>3</v>
      </c>
      <c r="L11">
        <f t="shared" ca="1" si="3"/>
        <v>-5</v>
      </c>
      <c r="M11">
        <f t="shared" ca="1" si="0"/>
        <v>4</v>
      </c>
      <c r="N11">
        <f t="shared" ca="1" si="4"/>
        <v>2</v>
      </c>
    </row>
    <row r="12" spans="1:14" x14ac:dyDescent="0.3">
      <c r="A12" s="6">
        <v>13</v>
      </c>
      <c r="B12" s="3" t="str">
        <f>IF(A12&lt;&gt;"",_xlfn.LET(
  _xlpm.rng, mapTrial!$A$3:$N$11,
  _xlpm.v, A12,
  _xlpm.cols, COLUMNS(_xlpm.rng),
  _xlpm.p, _xlfn.XMATCH(_xlpm.v, _xlfn.TOCOL(_xlpm.rng), 0),
  ADDRESS(
    INT((_xlpm.p-1)/_xlpm.cols)+1+2,
    MOD(_xlpm.p-1,_xlpm.cols)+1,
    1
  )
),"")</f>
        <v>$N$4</v>
      </c>
      <c r="C12" s="3" cm="1">
        <f t="array" aca="1" ref="C12" ca="1">IF(B12&lt;&gt;"",ROW(INDIRECT(B12)),"")</f>
        <v>4</v>
      </c>
      <c r="D12" s="3" cm="1">
        <f t="array" aca="1" ref="D12" ca="1">IF(B12&lt;&gt;"",COLUMN(INDIRECT(B12)),"")</f>
        <v>14</v>
      </c>
      <c r="E12" s="5">
        <v>20</v>
      </c>
      <c r="F12" s="3" t="str">
        <f>IF(E12&lt;&gt;"",_xlfn.LET(
  _xlpm.rng, mapTrial!$A$3:$N$11,
  _xlpm.v, E12,
  _xlpm.cols, COLUMNS(_xlpm.rng),
  _xlpm.p, _xlfn.XMATCH(_xlpm.v, _xlfn.TOCOL(_xlpm.rng), 0),
  ADDRESS(
    INT((_xlpm.p-1)/_xlpm.cols)+1+2,
    MOD(_xlpm.p-1,_xlpm.cols)+1,
    1
  )
),"")</f>
        <v>$B$6</v>
      </c>
      <c r="G12" s="3" cm="1">
        <f t="array" aca="1" ref="G12" ca="1">IF(F12&lt;&gt;"",ROW(INDIRECT(F12)),"")</f>
        <v>6</v>
      </c>
      <c r="H12" s="3" cm="1">
        <f t="array" aca="1" ref="H12" ca="1">IF(F12&lt;&gt;"",COLUMN(INDIRECT(F12)),"")</f>
        <v>2</v>
      </c>
      <c r="I12" s="7">
        <f t="shared" ca="1" si="1"/>
        <v>7</v>
      </c>
      <c r="J12">
        <v>7</v>
      </c>
      <c r="K12">
        <f t="shared" ca="1" si="2"/>
        <v>7</v>
      </c>
      <c r="L12">
        <f t="shared" ca="1" si="3"/>
        <v>-0.16666666666666666</v>
      </c>
      <c r="M12">
        <f ca="1">IF(AND((G12-C12)/(H12-D12)&lt;0,ABS((G12-C12)/(H12-D12))&lt;3),2,4)</f>
        <v>2</v>
      </c>
      <c r="N12">
        <f t="shared" ca="1" si="4"/>
        <v>11</v>
      </c>
    </row>
    <row r="13" spans="1:14" x14ac:dyDescent="0.3">
      <c r="A13" s="6">
        <v>7</v>
      </c>
      <c r="B13" s="3" t="str">
        <f>IF(A13&lt;&gt;"",_xlfn.LET(
  _xlpm.rng, mapTrial!$A$3:$N$11,
  _xlpm.v, A13,
  _xlpm.cols, COLUMNS(_xlpm.rng),
  _xlpm.p, _xlfn.XMATCH(_xlpm.v, _xlfn.TOCOL(_xlpm.rng), 0),
  ADDRESS(
    INT((_xlpm.p-1)/_xlpm.cols)+1+2,
    MOD(_xlpm.p-1,_xlpm.cols)+1,
    1
  )
),"")</f>
        <v>$B$4</v>
      </c>
      <c r="C13" s="3" cm="1">
        <f t="array" aca="1" ref="C13" ca="1">IF(B13&lt;&gt;"",ROW(INDIRECT(B13)),"")</f>
        <v>4</v>
      </c>
      <c r="D13" s="3" cm="1">
        <f t="array" aca="1" ref="D13" ca="1">IF(B13&lt;&gt;"",COLUMN(INDIRECT(B13)),"")</f>
        <v>2</v>
      </c>
      <c r="E13" s="5">
        <v>26</v>
      </c>
      <c r="F13" s="3" t="str">
        <f>IF(E13&lt;&gt;"",_xlfn.LET(
  _xlpm.rng, mapTrial!$A$3:$N$11,
  _xlpm.v, E13,
  _xlpm.cols, COLUMNS(_xlpm.rng),
  _xlpm.p, _xlfn.XMATCH(_xlpm.v, _xlfn.TOCOL(_xlpm.rng), 0),
  ADDRESS(
    INT((_xlpm.p-1)/_xlpm.cols)+1+2,
    MOD(_xlpm.p-1,_xlpm.cols)+1,
    1
  )
),"")</f>
        <v>$N$6</v>
      </c>
      <c r="G13" s="3" cm="1">
        <f t="array" aca="1" ref="G13" ca="1">IF(F13&lt;&gt;"",ROW(INDIRECT(F13)),"")</f>
        <v>6</v>
      </c>
      <c r="H13" s="3" cm="1">
        <f t="array" aca="1" ref="H13" ca="1">IF(F13&lt;&gt;"",COLUMN(INDIRECT(F13)),"")</f>
        <v>14</v>
      </c>
      <c r="I13" s="7">
        <f t="shared" ca="1" si="1"/>
        <v>7</v>
      </c>
      <c r="J13">
        <v>7</v>
      </c>
      <c r="K13">
        <f t="shared" ca="1" si="2"/>
        <v>7</v>
      </c>
      <c r="L13">
        <f t="shared" ca="1" si="3"/>
        <v>0.16666666666666666</v>
      </c>
      <c r="M13">
        <f t="shared" ref="M13:M14" ca="1" si="5">IF(AND((G13-C13)/(H13-D13)&lt;0,ABS((G13-C13)/(H13-D13))&lt;3),2,4)</f>
        <v>4</v>
      </c>
      <c r="N13">
        <f t="shared" ca="1" si="4"/>
        <v>13</v>
      </c>
    </row>
    <row r="14" spans="1:14" x14ac:dyDescent="0.3">
      <c r="A14" s="6">
        <v>26</v>
      </c>
      <c r="B14" s="3" t="str">
        <f>IF(A14&lt;&gt;"",_xlfn.LET(
  _xlpm.rng, mapTrial!$A$3:$N$11,
  _xlpm.v, A14,
  _xlpm.cols, COLUMNS(_xlpm.rng),
  _xlpm.p, _xlfn.XMATCH(_xlpm.v, _xlfn.TOCOL(_xlpm.rng), 0),
  ADDRESS(
    INT((_xlpm.p-1)/_xlpm.cols)+1+2,
    MOD(_xlpm.p-1,_xlpm.cols)+1,
    1
  )
),"")</f>
        <v>$N$6</v>
      </c>
      <c r="C14" s="3" cm="1">
        <f t="array" aca="1" ref="C14" ca="1">IF(B14&lt;&gt;"",ROW(INDIRECT(B14)),"")</f>
        <v>6</v>
      </c>
      <c r="D14" s="3" cm="1">
        <f t="array" aca="1" ref="D14" ca="1">IF(B14&lt;&gt;"",COLUMN(INDIRECT(B14)),"")</f>
        <v>14</v>
      </c>
      <c r="E14" s="5">
        <v>7</v>
      </c>
      <c r="F14" s="3" t="str">
        <f>IF(E14&lt;&gt;"",_xlfn.LET(
  _xlpm.rng, mapTrial!$A$3:$N$11,
  _xlpm.v, E14,
  _xlpm.cols, COLUMNS(_xlpm.rng),
  _xlpm.p, _xlfn.XMATCH(_xlpm.v, _xlfn.TOCOL(_xlpm.rng), 0),
  ADDRESS(
    INT((_xlpm.p-1)/_xlpm.cols)+1+2,
    MOD(_xlpm.p-1,_xlpm.cols)+1,
    1
  )
),"")</f>
        <v>$B$4</v>
      </c>
      <c r="G14" s="3" cm="1">
        <f t="array" aca="1" ref="G14" ca="1">IF(F14&lt;&gt;"",ROW(INDIRECT(F14)),"")</f>
        <v>4</v>
      </c>
      <c r="H14" s="3" cm="1">
        <f t="array" aca="1" ref="H14" ca="1">IF(F14&lt;&gt;"",COLUMN(INDIRECT(F14)),"")</f>
        <v>2</v>
      </c>
      <c r="I14" s="7">
        <f t="shared" ca="1" si="1"/>
        <v>7</v>
      </c>
      <c r="J14">
        <v>7</v>
      </c>
      <c r="K14">
        <f t="shared" ca="1" si="2"/>
        <v>7</v>
      </c>
      <c r="L14">
        <f t="shared" ca="1" si="3"/>
        <v>0.16666666666666666</v>
      </c>
      <c r="M14">
        <f t="shared" ca="1" si="5"/>
        <v>4</v>
      </c>
      <c r="N14">
        <f t="shared" ca="1" si="4"/>
        <v>13</v>
      </c>
    </row>
    <row r="15" spans="1:14" x14ac:dyDescent="0.3">
      <c r="A15" s="6">
        <v>13</v>
      </c>
      <c r="B15" s="3" t="str">
        <f>IF(A15&lt;&gt;"",_xlfn.LET(
  _xlpm.rng, mapTrial!$A$3:$N$11,
  _xlpm.v, A15,
  _xlpm.cols, COLUMNS(_xlpm.rng),
  _xlpm.p, _xlfn.XMATCH(_xlpm.v, _xlfn.TOCOL(_xlpm.rng), 0),
  ADDRESS(
    INT((_xlpm.p-1)/_xlpm.cols)+1+2,
    MOD(_xlpm.p-1,_xlpm.cols)+1,
    1
  )
),"")</f>
        <v>$N$4</v>
      </c>
      <c r="C15" s="3" cm="1">
        <f t="array" aca="1" ref="C15" ca="1">IF(B15&lt;&gt;"",ROW(INDIRECT(B15)),"")</f>
        <v>4</v>
      </c>
      <c r="D15" s="3" cm="1">
        <f t="array" aca="1" ref="D15" ca="1">IF(B15&lt;&gt;"",COLUMN(INDIRECT(B15)),"")</f>
        <v>14</v>
      </c>
      <c r="E15" s="5">
        <v>1</v>
      </c>
      <c r="F15" s="3" t="str">
        <f>IF(E15&lt;&gt;"",_xlfn.LET(
  _xlpm.rng, mapTrial!$A$3:$N$11,
  _xlpm.v, E15,
  _xlpm.cols, COLUMNS(_xlpm.rng),
  _xlpm.p, _xlfn.XMATCH(_xlpm.v, _xlfn.TOCOL(_xlpm.rng), 0),
  ADDRESS(
    INT((_xlpm.p-1)/_xlpm.cols)+1+2,
    MOD(_xlpm.p-1,_xlpm.cols)+1,
    1
  )
),"")</f>
        <v>$C$3</v>
      </c>
      <c r="G15" s="3" cm="1">
        <f t="array" aca="1" ref="G15" ca="1">IF(F15&lt;&gt;"",ROW(INDIRECT(F15)),"")</f>
        <v>3</v>
      </c>
      <c r="H15" s="3" cm="1">
        <f t="array" aca="1" ref="H15" ca="1">IF(F15&lt;&gt;"",COLUMN(INDIRECT(F15)),"")</f>
        <v>3</v>
      </c>
      <c r="I15" s="7">
        <f t="shared" ca="1" si="1"/>
        <v>6</v>
      </c>
      <c r="J15">
        <v>6</v>
      </c>
    </row>
    <row r="16" spans="1:14" x14ac:dyDescent="0.3">
      <c r="A16" s="6">
        <v>52</v>
      </c>
      <c r="B16" s="3" t="str">
        <f>IF(A16&lt;&gt;"",_xlfn.LET(
  _xlpm.rng, mapTrial!$A$3:$N$11,
  _xlpm.v, A16,
  _xlpm.cols, COLUMNS(_xlpm.rng),
  _xlpm.p, _xlfn.XMATCH(_xlpm.v, _xlfn.TOCOL(_xlpm.rng), 0),
  ADDRESS(
    INT((_xlpm.p-1)/_xlpm.cols)+1+2,
    MOD(_xlpm.p-1,_xlpm.cols)+1,
    1
  )
),"")</f>
        <v>$N$10</v>
      </c>
      <c r="C16" s="3" cm="1">
        <f t="array" aca="1" ref="C16" ca="1">IF(B16&lt;&gt;"",ROW(INDIRECT(B16)),"")</f>
        <v>10</v>
      </c>
      <c r="D16" s="3" cm="1">
        <f t="array" aca="1" ref="D16" ca="1">IF(B16&lt;&gt;"",COLUMN(INDIRECT(B16)),"")</f>
        <v>14</v>
      </c>
      <c r="E16" s="5">
        <v>1</v>
      </c>
      <c r="F16" s="3" t="str">
        <f>IF(E16&lt;&gt;"",_xlfn.LET(
  _xlpm.rng, mapTrial!$A$3:$N$11,
  _xlpm.v, E16,
  _xlpm.cols, COLUMNS(_xlpm.rng),
  _xlpm.p, _xlfn.XMATCH(_xlpm.v, _xlfn.TOCOL(_xlpm.rng), 0),
  ADDRESS(
    INT((_xlpm.p-1)/_xlpm.cols)+1+2,
    MOD(_xlpm.p-1,_xlpm.cols)+1,
    1
  )
),"")</f>
        <v>$C$3</v>
      </c>
      <c r="G16" s="3" cm="1">
        <f t="array" aca="1" ref="G16" ca="1">IF(F16&lt;&gt;"",ROW(INDIRECT(F16)),"")</f>
        <v>3</v>
      </c>
      <c r="H16" s="3" cm="1">
        <f t="array" aca="1" ref="H16" ca="1">IF(F16&lt;&gt;"",COLUMN(INDIRECT(F16)),"")</f>
        <v>3</v>
      </c>
      <c r="I16" s="7">
        <f t="shared" ca="1" si="1"/>
        <v>9</v>
      </c>
      <c r="J16">
        <v>9</v>
      </c>
    </row>
    <row r="17" spans="1:9" x14ac:dyDescent="0.3">
      <c r="A17" s="6"/>
      <c r="B17" s="3" t="str">
        <f>IF(A17&lt;&gt;"",_xlfn.LET(
  _xlpm.rng, mapTrial!$A$3:$N$11,
  _xlpm.v, A17,
  _xlpm.cols, COLUMNS(_xlpm.rng),
  _xlpm.p, _xlfn.XMATCH(_xlpm.v, _xlfn.TOCOL(_xlpm.rng), 0),
  ADDRESS(
    INT((_xlpm.p-1)/_xlpm.cols)+1+2,
    MOD(_xlpm.p-1,_xlpm.cols)+1,
    1
  )
),"")</f>
        <v/>
      </c>
      <c r="C17" s="3" t="str" cm="1">
        <f t="array" aca="1" ref="C17" ca="1">IF(B17&lt;&gt;"",ROW(INDIRECT(B17)),"")</f>
        <v/>
      </c>
      <c r="D17" s="3" t="str" cm="1">
        <f t="array" aca="1" ref="D17" ca="1">IF(B17&lt;&gt;"",COLUMN(INDIRECT(B17)),"")</f>
        <v/>
      </c>
      <c r="E17" s="5"/>
      <c r="F17" s="3" t="str">
        <f>IF(E17&lt;&gt;"",_xlfn.LET(
  _xlpm.rng, mapTrial!$A$3:$N$11,
  _xlpm.v, E17,
  _xlpm.cols, COLUMNS(_xlpm.rng),
  _xlpm.p, _xlfn.XMATCH(_xlpm.v, _xlfn.TOCOL(_xlpm.rng), 0),
  ADDRESS(
    INT((_xlpm.p-1)/_xlpm.cols)+1+2,
    MOD(_xlpm.p-1,_xlpm.cols)+1,
    1
  )
),"")</f>
        <v/>
      </c>
      <c r="G17" s="3" t="str" cm="1">
        <f t="array" aca="1" ref="G17" ca="1">IF(F17&lt;&gt;"",ROW(INDIRECT(F17)),"")</f>
        <v/>
      </c>
      <c r="H17" s="3" t="str" cm="1">
        <f t="array" aca="1" ref="H17" ca="1">IF(F17&lt;&gt;"",COLUMN(INDIRECT(F17)),"")</f>
        <v/>
      </c>
      <c r="I17" s="7" t="str">
        <f t="shared" si="1"/>
        <v/>
      </c>
    </row>
    <row r="18" spans="1:9" x14ac:dyDescent="0.3">
      <c r="A18" s="4"/>
      <c r="B18" s="3" t="str">
        <f>IF(A18&lt;&gt;"",_xlfn.LET(
  _xlpm.rng, mapTrial!$A$3:$N$11,
  _xlpm.v, A18,
  _xlpm.cols, COLUMNS(_xlpm.rng),
  _xlpm.p, _xlfn.XMATCH(_xlpm.v, _xlfn.TOCOL(_xlpm.rng), 0),
  ADDRESS(
    INT((_xlpm.p-1)/_xlpm.cols)+1+2,
    MOD(_xlpm.p-1,_xlpm.cols)+1,
    1
  )
),"")</f>
        <v/>
      </c>
      <c r="C18" s="3" t="str" cm="1">
        <f t="array" aca="1" ref="C18" ca="1">IF(B18&lt;&gt;"",ROW(INDIRECT(B18)),"")</f>
        <v/>
      </c>
      <c r="D18" s="3" t="str" cm="1">
        <f t="array" aca="1" ref="D18" ca="1">IF(B18&lt;&gt;"",COLUMN(INDIRECT(B18)),"")</f>
        <v/>
      </c>
      <c r="E18" s="5"/>
      <c r="F18" s="3" t="str">
        <f>IF(E18&lt;&gt;"",_xlfn.LET(
  _xlpm.rng, mapTrial!$A$3:$N$11,
  _xlpm.v, E18,
  _xlpm.cols, COLUMNS(_xlpm.rng),
  _xlpm.p, _xlfn.XMATCH(_xlpm.v, _xlfn.TOCOL(_xlpm.rng), 0),
  ADDRESS(
    INT((_xlpm.p-1)/_xlpm.cols)+1+2,
    MOD(_xlpm.p-1,_xlpm.cols)+1,
    1
  )
),"")</f>
        <v/>
      </c>
      <c r="G18" s="3" t="str" cm="1">
        <f t="array" aca="1" ref="G18" ca="1">IF(F18&lt;&gt;"",ROW(INDIRECT(F18)),"")</f>
        <v/>
      </c>
      <c r="H18" s="3" t="str" cm="1">
        <f t="array" aca="1" ref="H18" ca="1">IF(F18&lt;&gt;"",COLUMN(INDIRECT(F18)),"")</f>
        <v/>
      </c>
      <c r="I18" s="7" t="str">
        <f t="shared" si="1"/>
        <v/>
      </c>
    </row>
    <row r="19" spans="1:9" x14ac:dyDescent="0.3">
      <c r="A19" s="4"/>
      <c r="B19" s="3" t="str">
        <f>IF(A19&lt;&gt;"",_xlfn.LET(
  _xlpm.rng, mapTrial!$A$3:$N$11,
  _xlpm.v, A19,
  _xlpm.cols, COLUMNS(_xlpm.rng),
  _xlpm.p, _xlfn.XMATCH(_xlpm.v, _xlfn.TOCOL(_xlpm.rng), 0),
  ADDRESS(
    INT((_xlpm.p-1)/_xlpm.cols)+1+2,
    MOD(_xlpm.p-1,_xlpm.cols)+1,
    1
  )
),"")</f>
        <v/>
      </c>
      <c r="C19" s="3" t="str" cm="1">
        <f t="array" aca="1" ref="C19" ca="1">IF(B19&lt;&gt;"",ROW(INDIRECT(B19)),"")</f>
        <v/>
      </c>
      <c r="D19" s="3" t="str" cm="1">
        <f t="array" aca="1" ref="D19" ca="1">IF(B19&lt;&gt;"",COLUMN(INDIRECT(B19)),"")</f>
        <v/>
      </c>
      <c r="E19" s="5"/>
      <c r="F19" s="3" t="str">
        <f>IF(E19&lt;&gt;"",_xlfn.LET(
  _xlpm.rng, mapTrial!$A$3:$N$11,
  _xlpm.v, E19,
  _xlpm.cols, COLUMNS(_xlpm.rng),
  _xlpm.p, _xlfn.XMATCH(_xlpm.v, _xlfn.TOCOL(_xlpm.rng), 0),
  ADDRESS(
    INT((_xlpm.p-1)/_xlpm.cols)+1+2,
    MOD(_xlpm.p-1,_xlpm.cols)+1,
    1
  )
),"")</f>
        <v/>
      </c>
      <c r="G19" s="3" t="str" cm="1">
        <f t="array" aca="1" ref="G19" ca="1">IF(F19&lt;&gt;"",ROW(INDIRECT(F19)),"")</f>
        <v/>
      </c>
      <c r="H19" s="3" t="str" cm="1">
        <f t="array" aca="1" ref="H19" ca="1">IF(F19&lt;&gt;"",COLUMN(INDIRECT(F19)),"")</f>
        <v/>
      </c>
      <c r="I19" s="7" t="str">
        <f t="shared" si="1"/>
        <v/>
      </c>
    </row>
    <row r="20" spans="1:9" x14ac:dyDescent="0.3">
      <c r="A20" s="4"/>
      <c r="B20" s="3" t="str">
        <f>IF(A20&lt;&gt;"",_xlfn.LET(
  _xlpm.rng, mapTrial!$A$3:$N$11,
  _xlpm.v, A20,
  _xlpm.cols, COLUMNS(_xlpm.rng),
  _xlpm.p, _xlfn.XMATCH(_xlpm.v, _xlfn.TOCOL(_xlpm.rng), 0),
  ADDRESS(
    INT((_xlpm.p-1)/_xlpm.cols)+1+2,
    MOD(_xlpm.p-1,_xlpm.cols)+1,
    1
  )
),"")</f>
        <v/>
      </c>
      <c r="C20" s="3" t="str" cm="1">
        <f t="array" aca="1" ref="C20" ca="1">IF(B20&lt;&gt;"",ROW(INDIRECT(B20)),"")</f>
        <v/>
      </c>
      <c r="D20" s="3" t="str" cm="1">
        <f t="array" aca="1" ref="D20" ca="1">IF(B20&lt;&gt;"",COLUMN(INDIRECT(B20)),"")</f>
        <v/>
      </c>
      <c r="E20" s="5"/>
      <c r="F20" s="3" t="str">
        <f>IF(E20&lt;&gt;"",_xlfn.LET(
  _xlpm.rng, mapTrial!$A$3:$N$11,
  _xlpm.v, E20,
  _xlpm.cols, COLUMNS(_xlpm.rng),
  _xlpm.p, _xlfn.XMATCH(_xlpm.v, _xlfn.TOCOL(_xlpm.rng), 0),
  ADDRESS(
    INT((_xlpm.p-1)/_xlpm.cols)+1+2,
    MOD(_xlpm.p-1,_xlpm.cols)+1,
    1
  )
),"")</f>
        <v/>
      </c>
      <c r="G20" s="3" t="str" cm="1">
        <f t="array" aca="1" ref="G20" ca="1">IF(F20&lt;&gt;"",ROW(INDIRECT(F20)),"")</f>
        <v/>
      </c>
      <c r="H20" s="3" t="str" cm="1">
        <f t="array" aca="1" ref="H20" ca="1">IF(F20&lt;&gt;"",COLUMN(INDIRECT(F20)),"")</f>
        <v/>
      </c>
      <c r="I20" s="7" t="str">
        <f t="shared" si="1"/>
        <v/>
      </c>
    </row>
    <row r="21" spans="1:9" x14ac:dyDescent="0.3">
      <c r="A21" s="4"/>
      <c r="B21" s="3" t="str">
        <f>IF(A21&lt;&gt;"",_xlfn.LET(
  _xlpm.rng, mapTrial!$A$3:$N$11,
  _xlpm.v, A21,
  _xlpm.cols, COLUMNS(_xlpm.rng),
  _xlpm.p, _xlfn.XMATCH(_xlpm.v, _xlfn.TOCOL(_xlpm.rng), 0),
  ADDRESS(
    INT((_xlpm.p-1)/_xlpm.cols)+1+2,
    MOD(_xlpm.p-1,_xlpm.cols)+1,
    1
  )
),"")</f>
        <v/>
      </c>
      <c r="C21" s="3" t="str" cm="1">
        <f t="array" aca="1" ref="C21" ca="1">IF(B21&lt;&gt;"",ROW(INDIRECT(B21)),"")</f>
        <v/>
      </c>
      <c r="D21" s="3" t="str" cm="1">
        <f t="array" aca="1" ref="D21" ca="1">IF(B21&lt;&gt;"",COLUMN(INDIRECT(B21)),"")</f>
        <v/>
      </c>
      <c r="E21" s="5"/>
      <c r="F21" s="3" t="str">
        <f>IF(E21&lt;&gt;"",_xlfn.LET(
  _xlpm.rng, mapTrial!$A$3:$N$11,
  _xlpm.v, E21,
  _xlpm.cols, COLUMNS(_xlpm.rng),
  _xlpm.p, _xlfn.XMATCH(_xlpm.v, _xlfn.TOCOL(_xlpm.rng), 0),
  ADDRESS(
    INT((_xlpm.p-1)/_xlpm.cols)+1+2,
    MOD(_xlpm.p-1,_xlpm.cols)+1,
    1
  )
),"")</f>
        <v/>
      </c>
      <c r="G21" s="3" t="str" cm="1">
        <f t="array" aca="1" ref="G21" ca="1">IF(F21&lt;&gt;"",ROW(INDIRECT(F21)),"")</f>
        <v/>
      </c>
      <c r="H21" s="3" t="str" cm="1">
        <f t="array" aca="1" ref="H21" ca="1">IF(F21&lt;&gt;"",COLUMN(INDIRECT(F21)),"")</f>
        <v/>
      </c>
      <c r="I21" s="7" t="str">
        <f t="shared" si="1"/>
        <v/>
      </c>
    </row>
  </sheetData>
  <mergeCells count="2">
    <mergeCell ref="A1:D1"/>
    <mergeCell ref="E1:H1"/>
  </mergeCells>
  <conditionalFormatting sqref="I3:I21">
    <cfRule type="expression" dxfId="1" priority="1">
      <formula>IF(I3=J3,1,0)</formula>
    </cfRule>
    <cfRule type="expression" dxfId="0" priority="2">
      <formula>IF(I3&lt;&gt;J3,1,0)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0192-2354-417C-B04D-BB5638691C8F}">
  <dimension ref="A3:N11"/>
  <sheetViews>
    <sheetView workbookViewId="0">
      <selection activeCell="L14" sqref="L14"/>
    </sheetView>
    <sheetView tabSelected="1" workbookViewId="1">
      <selection activeCell="C3" activeCellId="1" sqref="N10 C3"/>
    </sheetView>
  </sheetViews>
  <sheetFormatPr defaultRowHeight="14.4" x14ac:dyDescent="0.3"/>
  <sheetData>
    <row r="3" spans="1:14" x14ac:dyDescent="0.3">
      <c r="A3" s="2">
        <v>0</v>
      </c>
      <c r="B3" s="2">
        <v>0</v>
      </c>
      <c r="C3" s="2">
        <v>1</v>
      </c>
      <c r="D3" s="2">
        <v>0</v>
      </c>
      <c r="E3" s="2">
        <v>2</v>
      </c>
      <c r="F3" s="2">
        <v>0</v>
      </c>
      <c r="G3" s="2">
        <v>3</v>
      </c>
      <c r="H3" s="2">
        <v>0</v>
      </c>
      <c r="I3" s="2">
        <v>4</v>
      </c>
      <c r="J3" s="2">
        <v>0</v>
      </c>
      <c r="K3" s="2">
        <v>5</v>
      </c>
      <c r="L3" s="2">
        <v>0</v>
      </c>
      <c r="M3" s="2">
        <v>6</v>
      </c>
      <c r="N3" s="2">
        <v>0</v>
      </c>
    </row>
    <row r="4" spans="1:14" x14ac:dyDescent="0.3">
      <c r="A4" s="2">
        <v>0</v>
      </c>
      <c r="B4" s="2">
        <v>7</v>
      </c>
      <c r="C4" s="2">
        <v>0</v>
      </c>
      <c r="D4" s="2">
        <v>8</v>
      </c>
      <c r="E4" s="2">
        <v>0</v>
      </c>
      <c r="F4" s="2">
        <v>9</v>
      </c>
      <c r="G4" s="2">
        <v>0</v>
      </c>
      <c r="H4" s="2">
        <v>10</v>
      </c>
      <c r="I4" s="2">
        <v>0</v>
      </c>
      <c r="J4" s="2">
        <v>11</v>
      </c>
      <c r="K4" s="2">
        <v>0</v>
      </c>
      <c r="L4" s="2">
        <v>12</v>
      </c>
      <c r="M4" s="2">
        <v>0</v>
      </c>
      <c r="N4" s="2">
        <v>13</v>
      </c>
    </row>
    <row r="5" spans="1:14" x14ac:dyDescent="0.3">
      <c r="A5" s="2">
        <v>0</v>
      </c>
      <c r="B5" s="2">
        <v>0</v>
      </c>
      <c r="C5" s="2">
        <v>14</v>
      </c>
      <c r="D5" s="2">
        <v>0</v>
      </c>
      <c r="E5" s="2">
        <v>15</v>
      </c>
      <c r="F5" s="2">
        <v>0</v>
      </c>
      <c r="G5" s="2">
        <v>16</v>
      </c>
      <c r="H5" s="2">
        <v>0</v>
      </c>
      <c r="I5" s="2">
        <v>17</v>
      </c>
      <c r="J5" s="2">
        <v>0</v>
      </c>
      <c r="K5" s="2">
        <v>18</v>
      </c>
      <c r="L5" s="2">
        <v>0</v>
      </c>
      <c r="M5" s="2">
        <v>19</v>
      </c>
      <c r="N5" s="2">
        <v>0</v>
      </c>
    </row>
    <row r="6" spans="1:14" x14ac:dyDescent="0.3">
      <c r="A6" s="2">
        <v>0</v>
      </c>
      <c r="B6" s="2">
        <v>20</v>
      </c>
      <c r="C6" s="2">
        <v>0</v>
      </c>
      <c r="D6" s="2">
        <v>21</v>
      </c>
      <c r="E6" s="2">
        <v>0</v>
      </c>
      <c r="F6" s="2">
        <v>22</v>
      </c>
      <c r="G6" s="2">
        <v>0</v>
      </c>
      <c r="H6" s="2">
        <v>23</v>
      </c>
      <c r="I6" s="2">
        <v>0</v>
      </c>
      <c r="J6" s="2">
        <v>24</v>
      </c>
      <c r="K6" s="2">
        <v>0</v>
      </c>
      <c r="L6" s="2">
        <v>25</v>
      </c>
      <c r="M6" s="2">
        <v>0</v>
      </c>
      <c r="N6" s="2">
        <v>26</v>
      </c>
    </row>
    <row r="7" spans="1:14" x14ac:dyDescent="0.3">
      <c r="A7" s="2">
        <v>0</v>
      </c>
      <c r="B7" s="2">
        <v>0</v>
      </c>
      <c r="C7" s="2">
        <v>27</v>
      </c>
      <c r="D7" s="2">
        <v>0</v>
      </c>
      <c r="E7" s="2">
        <v>28</v>
      </c>
      <c r="F7" s="2">
        <v>0</v>
      </c>
      <c r="G7" s="2">
        <v>29</v>
      </c>
      <c r="H7" s="2">
        <v>0</v>
      </c>
      <c r="I7" s="2">
        <v>30</v>
      </c>
      <c r="J7" s="2">
        <v>0</v>
      </c>
      <c r="K7" s="2">
        <v>31</v>
      </c>
      <c r="L7" s="2">
        <v>0</v>
      </c>
      <c r="M7" s="2">
        <v>32</v>
      </c>
      <c r="N7" s="2">
        <v>0</v>
      </c>
    </row>
    <row r="8" spans="1:14" x14ac:dyDescent="0.3">
      <c r="A8" s="2">
        <v>0</v>
      </c>
      <c r="B8" s="2">
        <v>33</v>
      </c>
      <c r="C8" s="2">
        <v>0</v>
      </c>
      <c r="D8" s="2">
        <v>34</v>
      </c>
      <c r="E8" s="2">
        <v>0</v>
      </c>
      <c r="F8" s="2">
        <v>35</v>
      </c>
      <c r="G8" s="2">
        <v>0</v>
      </c>
      <c r="H8" s="2">
        <v>36</v>
      </c>
      <c r="I8" s="2">
        <v>0</v>
      </c>
      <c r="J8" s="2">
        <v>37</v>
      </c>
      <c r="K8" s="2">
        <v>0</v>
      </c>
      <c r="L8" s="2">
        <v>38</v>
      </c>
      <c r="M8" s="2">
        <v>0</v>
      </c>
      <c r="N8" s="2">
        <v>39</v>
      </c>
    </row>
    <row r="9" spans="1:14" x14ac:dyDescent="0.3">
      <c r="A9" s="2">
        <v>0</v>
      </c>
      <c r="B9" s="2">
        <v>0</v>
      </c>
      <c r="C9" s="2">
        <v>40</v>
      </c>
      <c r="D9" s="2">
        <v>0</v>
      </c>
      <c r="E9" s="2">
        <v>41</v>
      </c>
      <c r="F9" s="2">
        <v>0</v>
      </c>
      <c r="G9" s="2">
        <v>42</v>
      </c>
      <c r="H9" s="2">
        <v>0</v>
      </c>
      <c r="I9" s="2">
        <v>43</v>
      </c>
      <c r="J9" s="2">
        <v>0</v>
      </c>
      <c r="K9" s="2">
        <v>44</v>
      </c>
      <c r="L9" s="2">
        <v>0</v>
      </c>
      <c r="M9" s="2">
        <v>45</v>
      </c>
      <c r="N9" s="2">
        <v>0</v>
      </c>
    </row>
    <row r="10" spans="1:14" x14ac:dyDescent="0.3">
      <c r="A10" s="2">
        <v>0</v>
      </c>
      <c r="B10" s="2">
        <v>46</v>
      </c>
      <c r="C10" s="2">
        <v>0</v>
      </c>
      <c r="D10" s="2">
        <v>47</v>
      </c>
      <c r="E10" s="2">
        <v>0</v>
      </c>
      <c r="F10" s="2">
        <v>48</v>
      </c>
      <c r="G10" s="2">
        <v>0</v>
      </c>
      <c r="H10" s="2">
        <v>49</v>
      </c>
      <c r="I10" s="2">
        <v>0</v>
      </c>
      <c r="J10" s="2">
        <v>50</v>
      </c>
      <c r="K10" s="2">
        <v>0</v>
      </c>
      <c r="L10" s="2">
        <v>51</v>
      </c>
      <c r="M10" s="2">
        <v>0</v>
      </c>
      <c r="N10" s="2">
        <v>52</v>
      </c>
    </row>
    <row r="11" spans="1:14" x14ac:dyDescent="0.3">
      <c r="A11" s="2">
        <v>0</v>
      </c>
      <c r="B11" s="2">
        <v>0</v>
      </c>
      <c r="C11" s="2">
        <v>53</v>
      </c>
      <c r="D11" s="2">
        <v>0</v>
      </c>
      <c r="E11" s="2">
        <v>54</v>
      </c>
      <c r="F11" s="2">
        <v>0</v>
      </c>
      <c r="G11" s="2">
        <v>55</v>
      </c>
      <c r="H11" s="2">
        <v>0</v>
      </c>
      <c r="I11" s="2">
        <v>56</v>
      </c>
      <c r="J11" s="2">
        <v>0</v>
      </c>
      <c r="K11" s="2">
        <v>57</v>
      </c>
      <c r="L11" s="2">
        <v>0</v>
      </c>
      <c r="M11" s="2">
        <v>58</v>
      </c>
      <c r="N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Lautigar</dc:creator>
  <cp:lastModifiedBy>Mitch Lautigar</cp:lastModifiedBy>
  <dcterms:created xsi:type="dcterms:W3CDTF">2026-01-27T21:07:39Z</dcterms:created>
  <dcterms:modified xsi:type="dcterms:W3CDTF">2026-01-27T23:32:19Z</dcterms:modified>
</cp:coreProperties>
</file>